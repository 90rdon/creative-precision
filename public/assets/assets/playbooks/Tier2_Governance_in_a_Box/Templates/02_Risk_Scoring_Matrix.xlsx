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ing Matrix" sheetId="1" state="visible" r:id="rId3"/>
    <sheet name="Tier Thresholds" sheetId="2" state="visible" r:id="rId4"/>
  </sheets>
  <definedNames>
    <definedName function="false" hidden="false" localSheetId="0" name="_xlnm.Print_Titles" vbProcedure="false">'Scoring Matrix'!$7:$7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<sst xmlns="http://schemas.openxmlformats.org/spreadsheetml/2006/main" count="184" uniqueCount="184">
  <si>
    <t xml:space="preserve">AI Risk Scoring Matrix</t>
  </si>
  <si>
    <t xml:space="preserve">Creative Precision Risk &amp; Routing Toolkit  |  © 2026 Gordon Chan  |  LICENSED MATERIAL — DO NOT DISTRIBUTE</t>
  </si>
  <si>
    <t xml:space="preserve">AI System Name:</t>
  </si>
  <si>
    <t xml:space="preserve">[Enter here]</t>
  </si>
  <si>
    <t xml:space="preserve">Date:</t>
  </si>
  <si>
    <t xml:space="preserve">[Enter date]</t>
  </si>
  <si>
    <t xml:space="preserve">Assessed By:</t>
  </si>
  <si>
    <t xml:space="preserve">[Enter name]</t>
  </si>
  <si>
    <t xml:space="preserve">Business Unit:</t>
  </si>
  <si>
    <t xml:space="preserve">[Enter BU]</t>
  </si>
  <si>
    <t xml:space="preserve">#</t>
  </si>
  <si>
    <t xml:space="preserve">Dimension</t>
  </si>
  <si>
    <t xml:space="preserve">Question Area</t>
  </si>
  <si>
    <t xml:space="preserve">Score
(1–3)</t>
  </si>
  <si>
    <t xml:space="preserve">Low (1)</t>
  </si>
  <si>
    <t xml:space="preserve">Medium (2)</t>
  </si>
  <si>
    <t xml:space="preserve">High (3)</t>
  </si>
  <si>
    <t xml:space="preserve">Notes</t>
  </si>
  <si>
    <t xml:space="preserve">1.1</t>
  </si>
  <si>
    <t xml:space="preserve">Data &amp; Privacy Risk</t>
  </si>
  <si>
    <t xml:space="preserve">PII/PHI Processing</t>
  </si>
  <si>
    <t xml:space="preserve">No PII/PHI — aggregated/synthetic data only</t>
  </si>
  <si>
    <t xml:space="preserve">Limited PII with existing controls</t>
  </si>
  <si>
    <t xml:space="preserve">Extensive PII/PHI with cross-system flows</t>
  </si>
  <si>
    <t xml:space="preserve">1.2</t>
  </si>
  <si>
    <t xml:space="preserve">Training Data Provenance</t>
  </si>
  <si>
    <t xml:space="preserve">Well-documented, curated datasets with clear provenance</t>
  </si>
  <si>
    <t xml:space="preserve">Mix of internal data with partial docs</t>
  </si>
  <si>
    <t xml:space="preserve">Undocumented/third-party with unknown provenance</t>
  </si>
  <si>
    <t xml:space="preserve">1.3</t>
  </si>
  <si>
    <t xml:space="preserve">Data Linkage Risk</t>
  </si>
  <si>
    <t xml:space="preserve">No new linkages — isolated datasets</t>
  </si>
  <si>
    <t xml:space="preserve">Linkages within single domain</t>
  </si>
  <si>
    <t xml:space="preserve">Cross-domain linkages enabling re-identification</t>
  </si>
  <si>
    <t xml:space="preserve">1.4</t>
  </si>
  <si>
    <t xml:space="preserve">Data Retention Mechanisms</t>
  </si>
  <si>
    <t xml:space="preserve">Automated retention with documented deletion</t>
  </si>
  <si>
    <t xml:space="preserve">Manual retention with periodic reviews</t>
  </si>
  <si>
    <t xml:space="preserve">No retention policy; data persists indefinitely</t>
  </si>
  <si>
    <t xml:space="preserve">1.5</t>
  </si>
  <si>
    <t xml:space="preserve">Data Quality Monitoring</t>
  </si>
  <si>
    <t xml:space="preserve">Automated quality monitoring with thresholds</t>
  </si>
  <si>
    <t xml:space="preserve">Periodic manual reviews</t>
  </si>
  <si>
    <t xml:space="preserve">No quality monitoring; reactive discovery</t>
  </si>
  <si>
    <t xml:space="preserve">Dimension 1 Subtotal: Data &amp; Privacy Risk</t>
  </si>
  <si>
    <t xml:space="preserve">2.1</t>
  </si>
  <si>
    <t xml:space="preserve">Decision Impact Risk</t>
  </si>
  <si>
    <t xml:space="preserve">Decision Type &amp; Severity</t>
  </si>
  <si>
    <t xml:space="preserve">Productivity assistance only — no individual impact</t>
  </si>
  <si>
    <t xml:space="preserve">Influences business decisions</t>
  </si>
  <si>
    <t xml:space="preserve">Directly affects individual outcomes</t>
  </si>
  <si>
    <t xml:space="preserve">2.2</t>
  </si>
  <si>
    <t xml:space="preserve">Contestation Mechanisms</t>
  </si>
  <si>
    <t xml:space="preserve">Clear contestation mechanism with human review</t>
  </si>
  <si>
    <t xml:space="preserve">Informal review process exists</t>
  </si>
  <si>
    <t xml:space="preserve">No contestation mechanism</t>
  </si>
  <si>
    <t xml:space="preserve">2.3</t>
  </si>
  <si>
    <t xml:space="preserve">Blast Radius</t>
  </si>
  <si>
    <t xml:space="preserve">Minimal — easily caught, no downstream deps</t>
  </si>
  <si>
    <t xml:space="preserve">Moderate — affects team/process; reversible</t>
  </si>
  <si>
    <t xml:space="preserve">Significant — affects customers/revenue/safety</t>
  </si>
  <si>
    <t xml:space="preserve">2.4</t>
  </si>
  <si>
    <t xml:space="preserve">Regulatory Decision Context</t>
  </si>
  <si>
    <t xml:space="preserve">No regulated context</t>
  </si>
  <si>
    <t xml:space="preserve">Adjacent to regulated context</t>
  </si>
  <si>
    <t xml:space="preserve">Directly in regulated decision domain</t>
  </si>
  <si>
    <t xml:space="preserve">2.5</t>
  </si>
  <si>
    <t xml:space="preserve">Downstream Automation</t>
  </si>
  <si>
    <t xml:space="preserve">Terminal output — consumed by humans only</t>
  </si>
  <si>
    <t xml:space="preserve">Feeds one downstream system with human check</t>
  </si>
  <si>
    <t xml:space="preserve">Feeds multiple systems without human review</t>
  </si>
  <si>
    <t xml:space="preserve">Dimension 2 Subtotal: Decision Impact Risk</t>
  </si>
  <si>
    <t xml:space="preserve">3.1</t>
  </si>
  <si>
    <t xml:space="preserve">Technical Complexity Risk</t>
  </si>
  <si>
    <t xml:space="preserve">Model Explainability</t>
  </si>
  <si>
    <t xml:space="preserve">Fully explainable — rule-based or simple model</t>
  </si>
  <si>
    <t xml:space="preserve">Partially explainable — interpretable ML</t>
  </si>
  <si>
    <t xml:space="preserve">Black-box with limited interpretability</t>
  </si>
  <si>
    <t xml:space="preserve">3.2</t>
  </si>
  <si>
    <t xml:space="preserve">Third-Party Dependencies</t>
  </si>
  <si>
    <t xml:space="preserve">Fully in-house — no external dependencies</t>
  </si>
  <si>
    <t xml:space="preserve">Third-party with documented SLAs</t>
  </si>
  <si>
    <t xml:space="preserve">Critical dependency with limited visibility</t>
  </si>
  <si>
    <t xml:space="preserve">3.3</t>
  </si>
  <si>
    <t xml:space="preserve">Monitoring Maturity</t>
  </si>
  <si>
    <t xml:space="preserve">Comprehensive monitoring with automated alerting</t>
  </si>
  <si>
    <t xml:space="preserve">Basic monitoring; drift detection planned</t>
  </si>
  <si>
    <t xml:space="preserve">No systematic monitoring</t>
  </si>
  <si>
    <t xml:space="preserve">3.4</t>
  </si>
  <si>
    <t xml:space="preserve">Update Frequency</t>
  </si>
  <si>
    <t xml:space="preserve">Stable — annual/semi-annual structured updates</t>
  </si>
  <si>
    <t xml:space="preserve">Quarterly updates with some validation</t>
  </si>
  <si>
    <t xml:space="preserve">Frequent updates (weekly+) with limited testing</t>
  </si>
  <si>
    <t xml:space="preserve">3.5</t>
  </si>
  <si>
    <t xml:space="preserve">Human Oversight Level</t>
  </si>
  <si>
    <t xml:space="preserve">Human-in-the-loop for all significant outputs</t>
  </si>
  <si>
    <t xml:space="preserve">Human-on-the-loop — reviews exceptions</t>
  </si>
  <si>
    <t xml:space="preserve">Fully autonomous with minimal oversight</t>
  </si>
  <si>
    <t xml:space="preserve">Dimension 3 Subtotal: Technical Complexity Risk</t>
  </si>
  <si>
    <t xml:space="preserve">4.1</t>
  </si>
  <si>
    <t xml:space="preserve">Organizational Readiness Risk</t>
  </si>
  <si>
    <t xml:space="preserve">AI/ML Team Expertise</t>
  </si>
  <si>
    <t xml:space="preserve">Dedicated AI/ML team with training programs</t>
  </si>
  <si>
    <t xml:space="preserve">Some ML experience; upskilling underway</t>
  </si>
  <si>
    <t xml:space="preserve">No dedicated AI expertise</t>
  </si>
  <si>
    <t xml:space="preserve">4.2</t>
  </si>
  <si>
    <t xml:space="preserve">Governance Role Clarity</t>
  </si>
  <si>
    <t xml:space="preserve">Formal RACI with named individuals</t>
  </si>
  <si>
    <t xml:space="preserve">Informal role assignment</t>
  </si>
  <si>
    <t xml:space="preserve">No defined governance roles</t>
  </si>
  <si>
    <t xml:space="preserve">4.3</t>
  </si>
  <si>
    <t xml:space="preserve">Incident Response Plan</t>
  </si>
  <si>
    <t xml:space="preserve">Documented plan with tested procedures</t>
  </si>
  <si>
    <t xml:space="preserve">Generic incident response exists</t>
  </si>
  <si>
    <t xml:space="preserve">No AI-specific incident response plan</t>
  </si>
  <si>
    <t xml:space="preserve">4.4</t>
  </si>
  <si>
    <t xml:space="preserve">Knowledge Preservation</t>
  </si>
  <si>
    <t xml:space="preserve">Living documentation maintained by team</t>
  </si>
  <si>
    <t xml:space="preserve">Initial docs exist but not updated</t>
  </si>
  <si>
    <t xml:space="preserve">Knowledge with 1–2 individuals only</t>
  </si>
  <si>
    <t xml:space="preserve">4.5</t>
  </si>
  <si>
    <t xml:space="preserve">Leadership Sponsorship</t>
  </si>
  <si>
    <t xml:space="preserve">Executive sponsor with budget authority</t>
  </si>
  <si>
    <t xml:space="preserve">Leadership aware but not actively involved</t>
  </si>
  <si>
    <t xml:space="preserve">No executive sponsorship</t>
  </si>
  <si>
    <t xml:space="preserve">Dimension 4 Subtotal: Organizational Readiness Risk</t>
  </si>
  <si>
    <t xml:space="preserve">5.1</t>
  </si>
  <si>
    <t xml:space="preserve">Regulatory &amp; Compliance Risk</t>
  </si>
  <si>
    <t xml:space="preserve">EU AI Act / Regulatory Classification</t>
  </si>
  <si>
    <t xml:space="preserve">Minimal risk — no AI regulation applies</t>
  </si>
  <si>
    <t xml:space="preserve">Limited risk with transparency obligations</t>
  </si>
  <si>
    <t xml:space="preserve">High-risk under EU AI Act or sector regulation</t>
  </si>
  <si>
    <t xml:space="preserve">5.2</t>
  </si>
  <si>
    <t xml:space="preserve">Annex IV Documentation Readiness</t>
  </si>
  <si>
    <t xml:space="preserve">Systematic documentation aligned with Annex IV</t>
  </si>
  <si>
    <t xml:space="preserve">Partial documentation; gaps identified</t>
  </si>
  <si>
    <t xml:space="preserve">No structured documentation process</t>
  </si>
  <si>
    <t xml:space="preserve">5.3</t>
  </si>
  <si>
    <t xml:space="preserve">Bias &amp; Fairness Testing</t>
  </si>
  <si>
    <t xml:space="preserve">Formal bias testing with documented metrics</t>
  </si>
  <si>
    <t xml:space="preserve">Some bias testing; inconsistent docs</t>
  </si>
  <si>
    <t xml:space="preserve">No systematic bias/fairness testing</t>
  </si>
  <si>
    <t xml:space="preserve">5.4</t>
  </si>
  <si>
    <t xml:space="preserve">Data Protection Compliance</t>
  </si>
  <si>
    <t xml:space="preserve">Full compliance with DPIAs and regular audits</t>
  </si>
  <si>
    <t xml:space="preserve">Compliance for some regs; gaps exist</t>
  </si>
  <si>
    <t xml:space="preserve">Compliance unknown or unaddressed</t>
  </si>
  <si>
    <t xml:space="preserve">5.5</t>
  </si>
  <si>
    <t xml:space="preserve">Regulatory Change Monitoring</t>
  </si>
  <si>
    <t xml:space="preserve">Dedicated regulatory monitoring with impact assessment</t>
  </si>
  <si>
    <t xml:space="preserve">Ad hoc awareness; no formal monitoring</t>
  </si>
  <si>
    <t xml:space="preserve">No regulatory change monitoring</t>
  </si>
  <si>
    <t xml:space="preserve">Dimension 5 Subtotal: Regulatory &amp; Compliance Risk</t>
  </si>
  <si>
    <t xml:space="preserve">TOTAL SCORE</t>
  </si>
  <si>
    <t xml:space="preserve">GOVERNANCE LANE</t>
  </si>
  <si>
    <t xml:space="preserve">25–37 = Express  |  38–52 = Standard  |  53–75 = Strategic</t>
  </si>
  <si>
    <t xml:space="preserve">Risk Tier Threshold Reference</t>
  </si>
  <si>
    <t xml:space="preserve">© 2026 Gordon Chan / Creative Precision  |  LICENSED MATERIAL</t>
  </si>
  <si>
    <t xml:space="preserve">Score Range</t>
  </si>
  <si>
    <t xml:space="preserve">Risk Tier</t>
  </si>
  <si>
    <t xml:space="preserve">Governance Lane</t>
  </si>
  <si>
    <t xml:space="preserve">Review Depth</t>
  </si>
  <si>
    <t xml:space="preserve">Key Actions</t>
  </si>
  <si>
    <t xml:space="preserve">25 – 37</t>
  </si>
  <si>
    <t xml:space="preserve">LOW</t>
  </si>
  <si>
    <t xml:space="preserve">Express Lane</t>
  </si>
  <si>
    <t xml:space="preserve">Lightweight review. Quarterly audit check. Minimal documentation required.</t>
  </si>
  <si>
    <t xml:space="preserve">Register in AI inventory. Assign Express lane tag. Quarterly compliance spot-check. Annual re-assessment.</t>
  </si>
  <si>
    <t xml:space="preserve">38 – 52</t>
  </si>
  <si>
    <t xml:space="preserve">MEDIUM</t>
  </si>
  <si>
    <t xml:space="preserve">Standard Lane</t>
  </si>
  <si>
    <t xml:space="preserve">Full four-gate lifecycle review. Model card required. Semi-annual audit.</t>
  </si>
  <si>
    <t xml:space="preserve">Full Gate 0→1→2→3 lifecycle. Assign governance Node lead. Model card creation. Bias testing if applicable. Semi-annual risk re-assessment.</t>
  </si>
  <si>
    <t xml:space="preserve">53 – 75</t>
  </si>
  <si>
    <t xml:space="preserve">HIGH</t>
  </si>
  <si>
    <t xml:space="preserve">Strategic Lane</t>
  </si>
  <si>
    <t xml:space="preserve">Fabric Core review. Gate 1.5 deep dive. Ethics assessment. Executive sign-off required.</t>
  </si>
  <si>
    <t xml:space="preserve">Full lifecycle plus Gate 1.5 review. Fabric Core convenes. Ethics Contact assessment. Stakeholder impact analysis. Executive sign-off. Continuous monitoring. Quarterly re-assessment.</t>
  </si>
  <si>
    <t xml:space="preserve">Override Rules</t>
  </si>
  <si>
    <t xml:space="preserve">1. Any single dimension scoring 13 or higher automatically triggers Strategic Lane review, regardless of total score.</t>
  </si>
  <si>
    <t xml:space="preserve">2. The governance reviewer may override the calculated tier with documented rationale (logged in the Assessment Questionnaire).</t>
  </si>
  <si>
    <t xml:space="preserve">3. Systems processing PII in regulated domains (healthcare, finance, employment) default to minimum MEDIUM tier.</t>
  </si>
  <si>
    <t xml:space="preserve">4. Systems with no human-in-the-loop oversight default to minimum MEDIUM tier.</t>
  </si>
  <si>
    <t xml:space="preserve">5. Override decisions are tracked as part of the Three Lines of Defense audit trail.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</si>
</sst>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A2520"/>
      <name val="Georgia"/>
      <family val="0"/>
      <charset val="1"/>
    </font>
    <font>
      <i val="true"/>
      <sz val="9"/>
      <color rgb="FF6B6560"/>
      <name val="Arial"/>
      <family val="0"/>
      <charset val="1"/>
    </font>
    <font>
      <b val="true"/>
      <sz val="10"/>
      <color rgb="FF8B7355"/>
      <name val="Arial"/>
      <family val="0"/>
      <charset val="1"/>
    </font>
    <font>
      <sz val="10"/>
      <color rgb="FF6B656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A2520"/>
      <name val="Arial"/>
      <family val="0"/>
      <charset val="1"/>
    </font>
    <font>
      <b val="true"/>
      <sz val="11"/>
      <color rgb="FF2A2520"/>
      <name val="Arial"/>
      <family val="0"/>
      <charset val="1"/>
    </font>
    <font>
      <b val="true"/>
      <sz val="10"/>
      <color rgb="FF2A2520"/>
      <name val="Arial"/>
      <family val="0"/>
      <charset val="1"/>
    </font>
    <font>
      <b val="true"/>
      <sz val="12"/>
      <color rgb="FFFFFFFF"/>
      <name val="Georgia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color rgb="FF8B7355"/>
      <name val="Georgia"/>
      <family val="0"/>
      <charset val="1"/>
    </font>
    <font>
      <b val="true"/>
      <sz val="12"/>
      <color rgb="FF8B7355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4A7C59"/>
      <name val="Arial"/>
      <family val="0"/>
      <charset val="1"/>
    </font>
    <font>
      <b val="true"/>
      <sz val="11"/>
      <color rgb="FFD4A017"/>
      <name val="Arial"/>
      <family val="0"/>
      <charset val="1"/>
    </font>
    <font>
      <b val="true"/>
      <sz val="11"/>
      <color rgb="FFC0392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A2520"/>
        <bgColor rgb="FF333300"/>
      </patternFill>
    </fill>
    <fill>
      <patternFill patternType="solid">
        <fgColor rgb="FFF9F7F3"/>
        <bgColor rgb="FFF4F1EB"/>
      </patternFill>
    </fill>
    <fill>
      <patternFill patternType="solid">
        <fgColor rgb="FFF4F1EB"/>
        <bgColor rgb="FFF9F7F3"/>
      </patternFill>
    </fill>
    <fill>
      <patternFill patternType="solid">
        <fgColor rgb="FFE8F0EA"/>
        <bgColor rgb="FFF4F1EB"/>
      </patternFill>
    </fill>
    <fill>
      <patternFill patternType="solid">
        <fgColor rgb="FFFFF8E1"/>
        <bgColor rgb="FFF9F7F3"/>
      </patternFill>
    </fill>
    <fill>
      <patternFill patternType="solid">
        <fgColor rgb="FFFDEBEB"/>
        <bgColor rgb="FFF4F1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0C8"/>
      </left>
      <right style="thin">
        <color rgb="FFD5D0C8"/>
      </right>
      <top style="thin">
        <color rgb="FFD5D0C8"/>
      </top>
      <bottom style="thin">
        <color rgb="FFD5D0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4A7C59"/>
        <sz val="11"/>
      </font>
      <fill>
        <patternFill>
          <bgColor rgb="FFE8F0EA"/>
        </patternFill>
      </fill>
    </dxf>
    <dxf>
      <font>
        <name val="Arial"/>
        <charset val="1"/>
        <family val="0"/>
        <b val="1"/>
        <color rgb="FFD4A017"/>
        <sz val="11"/>
      </font>
      <fill>
        <patternFill>
          <bgColor rgb="FFFFF8E1"/>
        </patternFill>
      </fill>
    </dxf>
    <dxf>
      <font>
        <name val="Arial"/>
        <charset val="1"/>
        <family val="0"/>
        <b val="1"/>
        <color rgb="FFC0392B"/>
        <sz val="11"/>
      </font>
      <fill>
        <patternFill>
          <bgColor rgb="FFFDEB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D0C8"/>
      <rgbColor rgb="FF8B7355"/>
      <rgbColor rgb="FF9999FF"/>
      <rgbColor rgb="FF993366"/>
      <rgbColor rgb="FFFFF8E1"/>
      <rgbColor rgb="FFE8F0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1EB"/>
      <rgbColor rgb="FFF9F7F3"/>
      <rgbColor rgb="FFFDE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017"/>
      <rgbColor rgb="FFFF6600"/>
      <rgbColor rgb="FF6B6560"/>
      <rgbColor rgb="FF969696"/>
      <rgbColor rgb="FF003366"/>
      <rgbColor rgb="FF4A7C59"/>
      <rgbColor rgb="FF003300"/>
      <rgbColor rgb="FF333300"/>
      <rgbColor rgb="FFC0392B"/>
      <rgbColor rgb="FF993366"/>
      <rgbColor rgb="FF333399"/>
      <rgbColor rgb="FF2A25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7355"/>
    <pageSetUpPr fitToPage="true"/>
  </sheetPr>
  <dimension ref="A1:H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9"/>
    <col collapsed="false" customWidth="true" hidden="false" outlineLevel="0" max="7" min="5" style="0" width="28"/>
    <col collapsed="false" customWidth="true" hidden="false" outlineLevel="0" max="8" min="8" style="0" width="2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5" t="s">
        <v>4</v>
      </c>
      <c r="G4" s="4" t="s">
        <v>5</v>
      </c>
      <c r="H4" s="4"/>
    </row>
    <row r="5" customFormat="false" ht="15" hidden="false" customHeight="false" outlineLevel="0" collapsed="false">
      <c r="A5" s="3" t="s">
        <v>6</v>
      </c>
      <c r="B5" s="3"/>
      <c r="C5" s="4" t="s">
        <v>7</v>
      </c>
      <c r="D5" s="4"/>
      <c r="E5" s="4"/>
      <c r="F5" s="5" t="s">
        <v>8</v>
      </c>
      <c r="G5" s="4" t="s">
        <v>9</v>
      </c>
      <c r="H5" s="4"/>
    </row>
    <row r="7" customFormat="false" ht="30" hidden="false" customHeight="true" outlineLevel="0" collapsed="false">
      <c r="A7" s="6" t="s">
        <v>10</v>
      </c>
      <c r="B7" s="6" t="s">
        <v>11</v>
      </c>
      <c r="C7" s="6" t="s">
        <v>12</v>
      </c>
      <c r="D7" s="6" t="s">
        <v>13</v>
      </c>
      <c r="E7" s="6" t="s">
        <v>14</v>
      </c>
      <c r="F7" s="6" t="s">
        <v>15</v>
      </c>
      <c r="G7" s="6" t="s">
        <v>16</v>
      </c>
      <c r="H7" s="6" t="s">
        <v>17</v>
      </c>
    </row>
    <row r="8" customFormat="false" ht="37.5" hidden="false" customHeight="true" outlineLevel="0" collapsed="false">
      <c r="A8" s="7" t="s">
        <v>18</v>
      </c>
      <c r="B8" s="8" t="s">
        <v>19</v>
      </c>
      <c r="C8" s="9" t="s">
        <v>20</v>
      </c>
      <c r="D8" s="10"/>
      <c r="E8" s="9" t="s">
        <v>21</v>
      </c>
      <c r="F8" s="9" t="s">
        <v>22</v>
      </c>
      <c r="G8" s="9" t="s">
        <v>23</v>
      </c>
      <c r="H8" s="9"/>
    </row>
    <row r="9" customFormat="false" ht="37.5" hidden="false" customHeight="true" outlineLevel="0" collapsed="false">
      <c r="A9" s="11" t="s">
        <v>24</v>
      </c>
      <c r="B9" s="8"/>
      <c r="C9" s="12" t="s">
        <v>25</v>
      </c>
      <c r="D9" s="13"/>
      <c r="E9" s="12" t="s">
        <v>26</v>
      </c>
      <c r="F9" s="12" t="s">
        <v>27</v>
      </c>
      <c r="G9" s="12" t="s">
        <v>28</v>
      </c>
      <c r="H9" s="12"/>
    </row>
    <row r="10" customFormat="false" ht="37.5" hidden="false" customHeight="true" outlineLevel="0" collapsed="false">
      <c r="A10" s="7" t="s">
        <v>29</v>
      </c>
      <c r="B10" s="8"/>
      <c r="C10" s="9" t="s">
        <v>30</v>
      </c>
      <c r="D10" s="10"/>
      <c r="E10" s="9" t="s">
        <v>31</v>
      </c>
      <c r="F10" s="9" t="s">
        <v>32</v>
      </c>
      <c r="G10" s="9" t="s">
        <v>33</v>
      </c>
      <c r="H10" s="9"/>
    </row>
    <row r="11" customFormat="false" ht="37.5" hidden="false" customHeight="true" outlineLevel="0" collapsed="false">
      <c r="A11" s="11" t="s">
        <v>34</v>
      </c>
      <c r="B11" s="8"/>
      <c r="C11" s="12" t="s">
        <v>35</v>
      </c>
      <c r="D11" s="13"/>
      <c r="E11" s="12" t="s">
        <v>36</v>
      </c>
      <c r="F11" s="12" t="s">
        <v>37</v>
      </c>
      <c r="G11" s="12" t="s">
        <v>38</v>
      </c>
      <c r="H11" s="12"/>
    </row>
    <row r="12" customFormat="false" ht="37.5" hidden="false" customHeight="true" outlineLevel="0" collapsed="false">
      <c r="A12" s="7" t="s">
        <v>39</v>
      </c>
      <c r="B12" s="8"/>
      <c r="C12" s="9" t="s">
        <v>40</v>
      </c>
      <c r="D12" s="10"/>
      <c r="E12" s="9" t="s">
        <v>41</v>
      </c>
      <c r="F12" s="9" t="s">
        <v>42</v>
      </c>
      <c r="G12" s="9" t="s">
        <v>43</v>
      </c>
      <c r="H12" s="9"/>
    </row>
    <row r="13" customFormat="false" ht="27.75" hidden="false" customHeight="true" outlineLevel="0" collapsed="false">
      <c r="A13" s="14" t="s">
        <v>44</v>
      </c>
      <c r="B13" s="14"/>
      <c r="C13" s="14"/>
      <c r="D13" s="15" t="n">
        <f aca="false">SUM(D8:D12)</f>
        <v>0</v>
      </c>
      <c r="E13" s="16" t="str">
        <f aca="false">IF(D13&gt;=13,"⚠ STRATEGIC LANE TRIGGERED","OK")</f>
        <v>OK</v>
      </c>
      <c r="F13" s="16"/>
      <c r="G13" s="16"/>
      <c r="H13" s="17"/>
    </row>
    <row r="14" customFormat="false" ht="37.5" hidden="false" customHeight="true" outlineLevel="0" collapsed="false">
      <c r="A14" s="7" t="s">
        <v>45</v>
      </c>
      <c r="B14" s="8" t="s">
        <v>46</v>
      </c>
      <c r="C14" s="9" t="s">
        <v>47</v>
      </c>
      <c r="D14" s="10"/>
      <c r="E14" s="9" t="s">
        <v>48</v>
      </c>
      <c r="F14" s="9" t="s">
        <v>49</v>
      </c>
      <c r="G14" s="9" t="s">
        <v>50</v>
      </c>
      <c r="H14" s="9"/>
    </row>
    <row r="15" customFormat="false" ht="37.5" hidden="false" customHeight="true" outlineLevel="0" collapsed="false">
      <c r="A15" s="11" t="s">
        <v>51</v>
      </c>
      <c r="B15" s="8"/>
      <c r="C15" s="12" t="s">
        <v>52</v>
      </c>
      <c r="D15" s="13"/>
      <c r="E15" s="12" t="s">
        <v>53</v>
      </c>
      <c r="F15" s="12" t="s">
        <v>54</v>
      </c>
      <c r="G15" s="12" t="s">
        <v>55</v>
      </c>
      <c r="H15" s="12"/>
    </row>
    <row r="16" customFormat="false" ht="37.5" hidden="false" customHeight="true" outlineLevel="0" collapsed="false">
      <c r="A16" s="7" t="s">
        <v>56</v>
      </c>
      <c r="B16" s="8"/>
      <c r="C16" s="9" t="s">
        <v>57</v>
      </c>
      <c r="D16" s="10"/>
      <c r="E16" s="9" t="s">
        <v>58</v>
      </c>
      <c r="F16" s="9" t="s">
        <v>59</v>
      </c>
      <c r="G16" s="9" t="s">
        <v>60</v>
      </c>
      <c r="H16" s="9"/>
    </row>
    <row r="17" customFormat="false" ht="37.5" hidden="false" customHeight="true" outlineLevel="0" collapsed="false">
      <c r="A17" s="11" t="s">
        <v>61</v>
      </c>
      <c r="B17" s="8"/>
      <c r="C17" s="12" t="s">
        <v>62</v>
      </c>
      <c r="D17" s="13"/>
      <c r="E17" s="12" t="s">
        <v>63</v>
      </c>
      <c r="F17" s="12" t="s">
        <v>64</v>
      </c>
      <c r="G17" s="12" t="s">
        <v>65</v>
      </c>
      <c r="H17" s="12"/>
    </row>
    <row r="18" customFormat="false" ht="37.5" hidden="false" customHeight="true" outlineLevel="0" collapsed="false">
      <c r="A18" s="7" t="s">
        <v>66</v>
      </c>
      <c r="B18" s="8"/>
      <c r="C18" s="9" t="s">
        <v>67</v>
      </c>
      <c r="D18" s="10"/>
      <c r="E18" s="9" t="s">
        <v>68</v>
      </c>
      <c r="F18" s="9" t="s">
        <v>69</v>
      </c>
      <c r="G18" s="9" t="s">
        <v>70</v>
      </c>
      <c r="H18" s="9"/>
    </row>
    <row r="19" customFormat="false" ht="27.75" hidden="false" customHeight="true" outlineLevel="0" collapsed="false">
      <c r="A19" s="14" t="s">
        <v>71</v>
      </c>
      <c r="B19" s="14"/>
      <c r="C19" s="14"/>
      <c r="D19" s="15" t="n">
        <f aca="false">SUM(D14:D18)</f>
        <v>0</v>
      </c>
      <c r="E19" s="16" t="str">
        <f aca="false">IF(D19&gt;=13,"⚠ STRATEGIC LANE TRIGGERED","OK")</f>
        <v>OK</v>
      </c>
      <c r="F19" s="16"/>
      <c r="G19" s="16"/>
      <c r="H19" s="17"/>
    </row>
    <row r="20" customFormat="false" ht="37.5" hidden="false" customHeight="true" outlineLevel="0" collapsed="false">
      <c r="A20" s="7" t="s">
        <v>72</v>
      </c>
      <c r="B20" s="8" t="s">
        <v>73</v>
      </c>
      <c r="C20" s="9" t="s">
        <v>74</v>
      </c>
      <c r="D20" s="10"/>
      <c r="E20" s="9" t="s">
        <v>75</v>
      </c>
      <c r="F20" s="9" t="s">
        <v>76</v>
      </c>
      <c r="G20" s="9" t="s">
        <v>77</v>
      </c>
      <c r="H20" s="9"/>
    </row>
    <row r="21" customFormat="false" ht="37.5" hidden="false" customHeight="true" outlineLevel="0" collapsed="false">
      <c r="A21" s="11" t="s">
        <v>78</v>
      </c>
      <c r="B21" s="8"/>
      <c r="C21" s="12" t="s">
        <v>79</v>
      </c>
      <c r="D21" s="13"/>
      <c r="E21" s="12" t="s">
        <v>80</v>
      </c>
      <c r="F21" s="12" t="s">
        <v>81</v>
      </c>
      <c r="G21" s="12" t="s">
        <v>82</v>
      </c>
      <c r="H21" s="12"/>
    </row>
    <row r="22" customFormat="false" ht="37.5" hidden="false" customHeight="true" outlineLevel="0" collapsed="false">
      <c r="A22" s="7" t="s">
        <v>83</v>
      </c>
      <c r="B22" s="8"/>
      <c r="C22" s="9" t="s">
        <v>84</v>
      </c>
      <c r="D22" s="10"/>
      <c r="E22" s="9" t="s">
        <v>85</v>
      </c>
      <c r="F22" s="9" t="s">
        <v>86</v>
      </c>
      <c r="G22" s="9" t="s">
        <v>87</v>
      </c>
      <c r="H22" s="9"/>
    </row>
    <row r="23" customFormat="false" ht="37.5" hidden="false" customHeight="true" outlineLevel="0" collapsed="false">
      <c r="A23" s="11" t="s">
        <v>88</v>
      </c>
      <c r="B23" s="8"/>
      <c r="C23" s="12" t="s">
        <v>89</v>
      </c>
      <c r="D23" s="13"/>
      <c r="E23" s="12" t="s">
        <v>90</v>
      </c>
      <c r="F23" s="12" t="s">
        <v>91</v>
      </c>
      <c r="G23" s="12" t="s">
        <v>92</v>
      </c>
      <c r="H23" s="12"/>
    </row>
    <row r="24" customFormat="false" ht="37.5" hidden="false" customHeight="true" outlineLevel="0" collapsed="false">
      <c r="A24" s="7" t="s">
        <v>93</v>
      </c>
      <c r="B24" s="8"/>
      <c r="C24" s="9" t="s">
        <v>94</v>
      </c>
      <c r="D24" s="10"/>
      <c r="E24" s="9" t="s">
        <v>95</v>
      </c>
      <c r="F24" s="9" t="s">
        <v>96</v>
      </c>
      <c r="G24" s="9" t="s">
        <v>97</v>
      </c>
      <c r="H24" s="9"/>
    </row>
    <row r="25" customFormat="false" ht="27.75" hidden="false" customHeight="true" outlineLevel="0" collapsed="false">
      <c r="A25" s="14" t="s">
        <v>98</v>
      </c>
      <c r="B25" s="14"/>
      <c r="C25" s="14"/>
      <c r="D25" s="15" t="n">
        <f aca="false">SUM(D20:D24)</f>
        <v>0</v>
      </c>
      <c r="E25" s="16" t="str">
        <f aca="false">IF(D25&gt;=13,"⚠ STRATEGIC LANE TRIGGERED","OK")</f>
        <v>OK</v>
      </c>
      <c r="F25" s="16"/>
      <c r="G25" s="16"/>
      <c r="H25" s="17"/>
    </row>
    <row r="26" customFormat="false" ht="37.5" hidden="false" customHeight="true" outlineLevel="0" collapsed="false">
      <c r="A26" s="7" t="s">
        <v>99</v>
      </c>
      <c r="B26" s="8" t="s">
        <v>100</v>
      </c>
      <c r="C26" s="9" t="s">
        <v>101</v>
      </c>
      <c r="D26" s="10"/>
      <c r="E26" s="9" t="s">
        <v>102</v>
      </c>
      <c r="F26" s="9" t="s">
        <v>103</v>
      </c>
      <c r="G26" s="9" t="s">
        <v>104</v>
      </c>
      <c r="H26" s="9"/>
    </row>
    <row r="27" customFormat="false" ht="37.5" hidden="false" customHeight="true" outlineLevel="0" collapsed="false">
      <c r="A27" s="11" t="s">
        <v>105</v>
      </c>
      <c r="B27" s="8"/>
      <c r="C27" s="12" t="s">
        <v>106</v>
      </c>
      <c r="D27" s="13"/>
      <c r="E27" s="12" t="s">
        <v>107</v>
      </c>
      <c r="F27" s="12" t="s">
        <v>108</v>
      </c>
      <c r="G27" s="12" t="s">
        <v>109</v>
      </c>
      <c r="H27" s="12"/>
    </row>
    <row r="28" customFormat="false" ht="37.5" hidden="false" customHeight="true" outlineLevel="0" collapsed="false">
      <c r="A28" s="7" t="s">
        <v>110</v>
      </c>
      <c r="B28" s="8"/>
      <c r="C28" s="9" t="s">
        <v>111</v>
      </c>
      <c r="D28" s="10"/>
      <c r="E28" s="9" t="s">
        <v>112</v>
      </c>
      <c r="F28" s="9" t="s">
        <v>113</v>
      </c>
      <c r="G28" s="9" t="s">
        <v>114</v>
      </c>
      <c r="H28" s="9"/>
    </row>
    <row r="29" customFormat="false" ht="37.5" hidden="false" customHeight="true" outlineLevel="0" collapsed="false">
      <c r="A29" s="11" t="s">
        <v>115</v>
      </c>
      <c r="B29" s="8"/>
      <c r="C29" s="12" t="s">
        <v>116</v>
      </c>
      <c r="D29" s="13"/>
      <c r="E29" s="12" t="s">
        <v>117</v>
      </c>
      <c r="F29" s="12" t="s">
        <v>118</v>
      </c>
      <c r="G29" s="12" t="s">
        <v>119</v>
      </c>
      <c r="H29" s="12"/>
    </row>
    <row r="30" customFormat="false" ht="37.5" hidden="false" customHeight="true" outlineLevel="0" collapsed="false">
      <c r="A30" s="7" t="s">
        <v>120</v>
      </c>
      <c r="B30" s="8"/>
      <c r="C30" s="9" t="s">
        <v>121</v>
      </c>
      <c r="D30" s="10"/>
      <c r="E30" s="9" t="s">
        <v>122</v>
      </c>
      <c r="F30" s="9" t="s">
        <v>123</v>
      </c>
      <c r="G30" s="9" t="s">
        <v>124</v>
      </c>
      <c r="H30" s="9"/>
    </row>
    <row r="31" customFormat="false" ht="27.75" hidden="false" customHeight="true" outlineLevel="0" collapsed="false">
      <c r="A31" s="14" t="s">
        <v>125</v>
      </c>
      <c r="B31" s="14"/>
      <c r="C31" s="14"/>
      <c r="D31" s="15" t="n">
        <f aca="false">SUM(D26:D30)</f>
        <v>0</v>
      </c>
      <c r="E31" s="16" t="str">
        <f aca="false">IF(D31&gt;=13,"⚠ STRATEGIC LANE TRIGGERED","OK")</f>
        <v>OK</v>
      </c>
      <c r="F31" s="16"/>
      <c r="G31" s="16"/>
      <c r="H31" s="17"/>
    </row>
    <row r="32" customFormat="false" ht="37.5" hidden="false" customHeight="true" outlineLevel="0" collapsed="false">
      <c r="A32" s="7" t="s">
        <v>126</v>
      </c>
      <c r="B32" s="8" t="s">
        <v>127</v>
      </c>
      <c r="C32" s="9" t="s">
        <v>128</v>
      </c>
      <c r="D32" s="10"/>
      <c r="E32" s="9" t="s">
        <v>129</v>
      </c>
      <c r="F32" s="9" t="s">
        <v>130</v>
      </c>
      <c r="G32" s="9" t="s">
        <v>131</v>
      </c>
      <c r="H32" s="9"/>
    </row>
    <row r="33" customFormat="false" ht="37.5" hidden="false" customHeight="true" outlineLevel="0" collapsed="false">
      <c r="A33" s="11" t="s">
        <v>132</v>
      </c>
      <c r="B33" s="8"/>
      <c r="C33" s="12" t="s">
        <v>133</v>
      </c>
      <c r="D33" s="13"/>
      <c r="E33" s="12" t="s">
        <v>134</v>
      </c>
      <c r="F33" s="12" t="s">
        <v>135</v>
      </c>
      <c r="G33" s="12" t="s">
        <v>136</v>
      </c>
      <c r="H33" s="12"/>
    </row>
    <row r="34" customFormat="false" ht="37.5" hidden="false" customHeight="true" outlineLevel="0" collapsed="false">
      <c r="A34" s="7" t="s">
        <v>137</v>
      </c>
      <c r="B34" s="8"/>
      <c r="C34" s="9" t="s">
        <v>138</v>
      </c>
      <c r="D34" s="10"/>
      <c r="E34" s="9" t="s">
        <v>139</v>
      </c>
      <c r="F34" s="9" t="s">
        <v>140</v>
      </c>
      <c r="G34" s="9" t="s">
        <v>141</v>
      </c>
      <c r="H34" s="9"/>
    </row>
    <row r="35" customFormat="false" ht="37.5" hidden="false" customHeight="true" outlineLevel="0" collapsed="false">
      <c r="A35" s="11" t="s">
        <v>142</v>
      </c>
      <c r="B35" s="8"/>
      <c r="C35" s="12" t="s">
        <v>143</v>
      </c>
      <c r="D35" s="13"/>
      <c r="E35" s="12" t="s">
        <v>144</v>
      </c>
      <c r="F35" s="12" t="s">
        <v>145</v>
      </c>
      <c r="G35" s="12" t="s">
        <v>146</v>
      </c>
      <c r="H35" s="12"/>
    </row>
    <row r="36" customFormat="false" ht="37.5" hidden="false" customHeight="true" outlineLevel="0" collapsed="false">
      <c r="A36" s="7" t="s">
        <v>147</v>
      </c>
      <c r="B36" s="8"/>
      <c r="C36" s="9" t="s">
        <v>148</v>
      </c>
      <c r="D36" s="10"/>
      <c r="E36" s="9" t="s">
        <v>149</v>
      </c>
      <c r="F36" s="9" t="s">
        <v>150</v>
      </c>
      <c r="G36" s="9" t="s">
        <v>151</v>
      </c>
      <c r="H36" s="9"/>
    </row>
    <row r="37" customFormat="false" ht="27.75" hidden="false" customHeight="true" outlineLevel="0" collapsed="false">
      <c r="A37" s="14" t="s">
        <v>152</v>
      </c>
      <c r="B37" s="14"/>
      <c r="C37" s="14"/>
      <c r="D37" s="15" t="n">
        <f aca="false">SUM(D32:D36)</f>
        <v>0</v>
      </c>
      <c r="E37" s="16" t="str">
        <f aca="false">IF(D37&gt;=13,"⚠ STRATEGIC LANE TRIGGERED","OK")</f>
        <v>OK</v>
      </c>
      <c r="F37" s="16"/>
      <c r="G37" s="16"/>
      <c r="H37" s="17"/>
    </row>
    <row r="39" customFormat="false" ht="34.5" hidden="false" customHeight="true" outlineLevel="0" collapsed="false">
      <c r="A39" s="18" t="s">
        <v>153</v>
      </c>
      <c r="B39" s="18"/>
      <c r="C39" s="18"/>
      <c r="D39" s="19" t="n">
        <f aca="false">SUM(D13,D19,D25,D31,D37)</f>
        <v>0</v>
      </c>
      <c r="E39" s="20" t="str">
        <f aca="false">IF(D39="","",IF(D39&lt;=37,"LOW RISK",IF(D39&lt;=52,"MEDIUM RISK","HIGH RISK")))</f>
        <v>LOW RISK</v>
      </c>
      <c r="F39" s="20"/>
      <c r="G39" s="20"/>
      <c r="H39" s="21"/>
    </row>
    <row r="40" customFormat="false" ht="30" hidden="false" customHeight="true" outlineLevel="0" collapsed="false">
      <c r="A40" s="22" t="s">
        <v>154</v>
      </c>
      <c r="B40" s="22"/>
      <c r="C40" s="22"/>
      <c r="D40" s="23" t="str">
        <f aca="false">IF(D39="","",IF(D39&lt;=37,"EXPRESS",IF(D39&lt;=52,"STANDARD","STRATEGIC")))</f>
        <v>EXPRESS</v>
      </c>
      <c r="E40" s="24" t="s">
        <v>155</v>
      </c>
      <c r="F40" s="24"/>
      <c r="G40" s="24"/>
      <c r="H40" s="17"/>
    </row>
  </sheetData>
  <mergeCells count="27">
    <mergeCell ref="A1:H1"/>
    <mergeCell ref="A2:H2"/>
    <mergeCell ref="A4:B4"/>
    <mergeCell ref="C4:E4"/>
    <mergeCell ref="G4:H4"/>
    <mergeCell ref="A5:B5"/>
    <mergeCell ref="C5:E5"/>
    <mergeCell ref="G5:H5"/>
    <mergeCell ref="B8:B12"/>
    <mergeCell ref="A13:C13"/>
    <mergeCell ref="E13:G13"/>
    <mergeCell ref="B14:B18"/>
    <mergeCell ref="A19:C19"/>
    <mergeCell ref="E19:G19"/>
    <mergeCell ref="B20:B24"/>
    <mergeCell ref="A25:C25"/>
    <mergeCell ref="E25:G25"/>
    <mergeCell ref="B26:B30"/>
    <mergeCell ref="A31:C31"/>
    <mergeCell ref="E31:G31"/>
    <mergeCell ref="B32:B36"/>
    <mergeCell ref="A37:C37"/>
    <mergeCell ref="E37:G37"/>
    <mergeCell ref="A39:C39"/>
    <mergeCell ref="E39:G39"/>
    <mergeCell ref="A40:C40"/>
    <mergeCell ref="E40:G40"/>
  </mergeCells>
  <conditionalFormatting sqref="D8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2</formula>
    </cfRule>
    <cfRule type="cellIs" priority="4" operator="equal" aboveAverage="0" equalAverage="0" bottom="0" percent="0" rank="0" text="" dxfId="2">
      <formula>3</formula>
    </cfRule>
  </conditionalFormatting>
  <conditionalFormatting sqref="D9">
    <cfRule type="cellIs" priority="5" operator="equal" aboveAverage="0" equalAverage="0" bottom="0" percent="0" rank="0" text="" dxfId="0">
      <formula>1</formula>
    </cfRule>
    <cfRule type="cellIs" priority="6" operator="equal" aboveAverage="0" equalAverage="0" bottom="0" percent="0" rank="0" text="" dxfId="1">
      <formula>2</formula>
    </cfRule>
    <cfRule type="cellIs" priority="7" operator="equal" aboveAverage="0" equalAverage="0" bottom="0" percent="0" rank="0" text="" dxfId="2">
      <formula>3</formula>
    </cfRule>
  </conditionalFormatting>
  <conditionalFormatting sqref="D10">
    <cfRule type="cellIs" priority="8" operator="equal" aboveAverage="0" equalAverage="0" bottom="0" percent="0" rank="0" text="" dxfId="0">
      <formula>1</formula>
    </cfRule>
    <cfRule type="cellIs" priority="9" operator="equal" aboveAverage="0" equalAverage="0" bottom="0" percent="0" rank="0" text="" dxfId="1">
      <formula>2</formula>
    </cfRule>
    <cfRule type="cellIs" priority="10" operator="equal" aboveAverage="0" equalAverage="0" bottom="0" percent="0" rank="0" text="" dxfId="2">
      <formula>3</formula>
    </cfRule>
  </conditionalFormatting>
  <conditionalFormatting sqref="D11">
    <cfRule type="cellIs" priority="11" operator="equal" aboveAverage="0" equalAverage="0" bottom="0" percent="0" rank="0" text="" dxfId="0">
      <formula>1</formula>
    </cfRule>
    <cfRule type="cellIs" priority="12" operator="equal" aboveAverage="0" equalAverage="0" bottom="0" percent="0" rank="0" text="" dxfId="1">
      <formula>2</formula>
    </cfRule>
    <cfRule type="cellIs" priority="13" operator="equal" aboveAverage="0" equalAverage="0" bottom="0" percent="0" rank="0" text="" dxfId="2">
      <formula>3</formula>
    </cfRule>
  </conditionalFormatting>
  <conditionalFormatting sqref="D12">
    <cfRule type="cellIs" priority="14" operator="equal" aboveAverage="0" equalAverage="0" bottom="0" percent="0" rank="0" text="" dxfId="0">
      <formula>1</formula>
    </cfRule>
    <cfRule type="cellIs" priority="15" operator="equal" aboveAverage="0" equalAverage="0" bottom="0" percent="0" rank="0" text="" dxfId="1">
      <formula>2</formula>
    </cfRule>
    <cfRule type="cellIs" priority="16" operator="equal" aboveAverage="0" equalAverage="0" bottom="0" percent="0" rank="0" text="" dxfId="2">
      <formula>3</formula>
    </cfRule>
  </conditionalFormatting>
  <conditionalFormatting sqref="D14">
    <cfRule type="cellIs" priority="17" operator="equal" aboveAverage="0" equalAverage="0" bottom="0" percent="0" rank="0" text="" dxfId="0">
      <formula>1</formula>
    </cfRule>
    <cfRule type="cellIs" priority="18" operator="equal" aboveAverage="0" equalAverage="0" bottom="0" percent="0" rank="0" text="" dxfId="1">
      <formula>2</formula>
    </cfRule>
    <cfRule type="cellIs" priority="19" operator="equal" aboveAverage="0" equalAverage="0" bottom="0" percent="0" rank="0" text="" dxfId="2">
      <formula>3</formula>
    </cfRule>
  </conditionalFormatting>
  <conditionalFormatting sqref="D15">
    <cfRule type="cellIs" priority="20" operator="equal" aboveAverage="0" equalAverage="0" bottom="0" percent="0" rank="0" text="" dxfId="0">
      <formula>1</formula>
    </cfRule>
    <cfRule type="cellIs" priority="21" operator="equal" aboveAverage="0" equalAverage="0" bottom="0" percent="0" rank="0" text="" dxfId="1">
      <formula>2</formula>
    </cfRule>
    <cfRule type="cellIs" priority="22" operator="equal" aboveAverage="0" equalAverage="0" bottom="0" percent="0" rank="0" text="" dxfId="2">
      <formula>3</formula>
    </cfRule>
  </conditionalFormatting>
  <conditionalFormatting sqref="D16">
    <cfRule type="cellIs" priority="23" operator="equal" aboveAverage="0" equalAverage="0" bottom="0" percent="0" rank="0" text="" dxfId="0">
      <formula>1</formula>
    </cfRule>
    <cfRule type="cellIs" priority="24" operator="equal" aboveAverage="0" equalAverage="0" bottom="0" percent="0" rank="0" text="" dxfId="1">
      <formula>2</formula>
    </cfRule>
    <cfRule type="cellIs" priority="25" operator="equal" aboveAverage="0" equalAverage="0" bottom="0" percent="0" rank="0" text="" dxfId="2">
      <formula>3</formula>
    </cfRule>
  </conditionalFormatting>
  <conditionalFormatting sqref="D17">
    <cfRule type="cellIs" priority="26" operator="equal" aboveAverage="0" equalAverage="0" bottom="0" percent="0" rank="0" text="" dxfId="0">
      <formula>1</formula>
    </cfRule>
    <cfRule type="cellIs" priority="27" operator="equal" aboveAverage="0" equalAverage="0" bottom="0" percent="0" rank="0" text="" dxfId="1">
      <formula>2</formula>
    </cfRule>
    <cfRule type="cellIs" priority="28" operator="equal" aboveAverage="0" equalAverage="0" bottom="0" percent="0" rank="0" text="" dxfId="2">
      <formula>3</formula>
    </cfRule>
  </conditionalFormatting>
  <conditionalFormatting sqref="D18">
    <cfRule type="cellIs" priority="29" operator="equal" aboveAverage="0" equalAverage="0" bottom="0" percent="0" rank="0" text="" dxfId="0">
      <formula>1</formula>
    </cfRule>
    <cfRule type="cellIs" priority="30" operator="equal" aboveAverage="0" equalAverage="0" bottom="0" percent="0" rank="0" text="" dxfId="1">
      <formula>2</formula>
    </cfRule>
    <cfRule type="cellIs" priority="31" operator="equal" aboveAverage="0" equalAverage="0" bottom="0" percent="0" rank="0" text="" dxfId="2">
      <formula>3</formula>
    </cfRule>
  </conditionalFormatting>
  <conditionalFormatting sqref="D20">
    <cfRule type="cellIs" priority="32" operator="equal" aboveAverage="0" equalAverage="0" bottom="0" percent="0" rank="0" text="" dxfId="0">
      <formula>1</formula>
    </cfRule>
    <cfRule type="cellIs" priority="33" operator="equal" aboveAverage="0" equalAverage="0" bottom="0" percent="0" rank="0" text="" dxfId="1">
      <formula>2</formula>
    </cfRule>
    <cfRule type="cellIs" priority="34" operator="equal" aboveAverage="0" equalAverage="0" bottom="0" percent="0" rank="0" text="" dxfId="2">
      <formula>3</formula>
    </cfRule>
  </conditionalFormatting>
  <conditionalFormatting sqref="D21">
    <cfRule type="cellIs" priority="35" operator="equal" aboveAverage="0" equalAverage="0" bottom="0" percent="0" rank="0" text="" dxfId="0">
      <formula>1</formula>
    </cfRule>
    <cfRule type="cellIs" priority="36" operator="equal" aboveAverage="0" equalAverage="0" bottom="0" percent="0" rank="0" text="" dxfId="1">
      <formula>2</formula>
    </cfRule>
    <cfRule type="cellIs" priority="37" operator="equal" aboveAverage="0" equalAverage="0" bottom="0" percent="0" rank="0" text="" dxfId="2">
      <formula>3</formula>
    </cfRule>
  </conditionalFormatting>
  <conditionalFormatting sqref="D22">
    <cfRule type="cellIs" priority="38" operator="equal" aboveAverage="0" equalAverage="0" bottom="0" percent="0" rank="0" text="" dxfId="0">
      <formula>1</formula>
    </cfRule>
    <cfRule type="cellIs" priority="39" operator="equal" aboveAverage="0" equalAverage="0" bottom="0" percent="0" rank="0" text="" dxfId="1">
      <formula>2</formula>
    </cfRule>
    <cfRule type="cellIs" priority="40" operator="equal" aboveAverage="0" equalAverage="0" bottom="0" percent="0" rank="0" text="" dxfId="2">
      <formula>3</formula>
    </cfRule>
  </conditionalFormatting>
  <conditionalFormatting sqref="D23">
    <cfRule type="cellIs" priority="41" operator="equal" aboveAverage="0" equalAverage="0" bottom="0" percent="0" rank="0" text="" dxfId="0">
      <formula>1</formula>
    </cfRule>
    <cfRule type="cellIs" priority="42" operator="equal" aboveAverage="0" equalAverage="0" bottom="0" percent="0" rank="0" text="" dxfId="1">
      <formula>2</formula>
    </cfRule>
    <cfRule type="cellIs" priority="43" operator="equal" aboveAverage="0" equalAverage="0" bottom="0" percent="0" rank="0" text="" dxfId="2">
      <formula>3</formula>
    </cfRule>
  </conditionalFormatting>
  <conditionalFormatting sqref="D24">
    <cfRule type="cellIs" priority="44" operator="equal" aboveAverage="0" equalAverage="0" bottom="0" percent="0" rank="0" text="" dxfId="0">
      <formula>1</formula>
    </cfRule>
    <cfRule type="cellIs" priority="45" operator="equal" aboveAverage="0" equalAverage="0" bottom="0" percent="0" rank="0" text="" dxfId="1">
      <formula>2</formula>
    </cfRule>
    <cfRule type="cellIs" priority="46" operator="equal" aboveAverage="0" equalAverage="0" bottom="0" percent="0" rank="0" text="" dxfId="2">
      <formula>3</formula>
    </cfRule>
  </conditionalFormatting>
  <conditionalFormatting sqref="D26">
    <cfRule type="cellIs" priority="47" operator="equal" aboveAverage="0" equalAverage="0" bottom="0" percent="0" rank="0" text="" dxfId="0">
      <formula>1</formula>
    </cfRule>
    <cfRule type="cellIs" priority="48" operator="equal" aboveAverage="0" equalAverage="0" bottom="0" percent="0" rank="0" text="" dxfId="1">
      <formula>2</formula>
    </cfRule>
    <cfRule type="cellIs" priority="49" operator="equal" aboveAverage="0" equalAverage="0" bottom="0" percent="0" rank="0" text="" dxfId="2">
      <formula>3</formula>
    </cfRule>
  </conditionalFormatting>
  <conditionalFormatting sqref="D27">
    <cfRule type="cellIs" priority="50" operator="equal" aboveAverage="0" equalAverage="0" bottom="0" percent="0" rank="0" text="" dxfId="0">
      <formula>1</formula>
    </cfRule>
    <cfRule type="cellIs" priority="51" operator="equal" aboveAverage="0" equalAverage="0" bottom="0" percent="0" rank="0" text="" dxfId="1">
      <formula>2</formula>
    </cfRule>
    <cfRule type="cellIs" priority="52" operator="equal" aboveAverage="0" equalAverage="0" bottom="0" percent="0" rank="0" text="" dxfId="2">
      <formula>3</formula>
    </cfRule>
  </conditionalFormatting>
  <conditionalFormatting sqref="D28">
    <cfRule type="cellIs" priority="53" operator="equal" aboveAverage="0" equalAverage="0" bottom="0" percent="0" rank="0" text="" dxfId="0">
      <formula>1</formula>
    </cfRule>
    <cfRule type="cellIs" priority="54" operator="equal" aboveAverage="0" equalAverage="0" bottom="0" percent="0" rank="0" text="" dxfId="1">
      <formula>2</formula>
    </cfRule>
    <cfRule type="cellIs" priority="55" operator="equal" aboveAverage="0" equalAverage="0" bottom="0" percent="0" rank="0" text="" dxfId="2">
      <formula>3</formula>
    </cfRule>
  </conditionalFormatting>
  <conditionalFormatting sqref="D29">
    <cfRule type="cellIs" priority="56" operator="equal" aboveAverage="0" equalAverage="0" bottom="0" percent="0" rank="0" text="" dxfId="0">
      <formula>1</formula>
    </cfRule>
    <cfRule type="cellIs" priority="57" operator="equal" aboveAverage="0" equalAverage="0" bottom="0" percent="0" rank="0" text="" dxfId="1">
      <formula>2</formula>
    </cfRule>
    <cfRule type="cellIs" priority="58" operator="equal" aboveAverage="0" equalAverage="0" bottom="0" percent="0" rank="0" text="" dxfId="2">
      <formula>3</formula>
    </cfRule>
  </conditionalFormatting>
  <conditionalFormatting sqref="D30">
    <cfRule type="cellIs" priority="59" operator="equal" aboveAverage="0" equalAverage="0" bottom="0" percent="0" rank="0" text="" dxfId="0">
      <formula>1</formula>
    </cfRule>
    <cfRule type="cellIs" priority="60" operator="equal" aboveAverage="0" equalAverage="0" bottom="0" percent="0" rank="0" text="" dxfId="1">
      <formula>2</formula>
    </cfRule>
    <cfRule type="cellIs" priority="61" operator="equal" aboveAverage="0" equalAverage="0" bottom="0" percent="0" rank="0" text="" dxfId="2">
      <formula>3</formula>
    </cfRule>
  </conditionalFormatting>
  <conditionalFormatting sqref="D32">
    <cfRule type="cellIs" priority="62" operator="equal" aboveAverage="0" equalAverage="0" bottom="0" percent="0" rank="0" text="" dxfId="0">
      <formula>1</formula>
    </cfRule>
    <cfRule type="cellIs" priority="63" operator="equal" aboveAverage="0" equalAverage="0" bottom="0" percent="0" rank="0" text="" dxfId="1">
      <formula>2</formula>
    </cfRule>
    <cfRule type="cellIs" priority="64" operator="equal" aboveAverage="0" equalAverage="0" bottom="0" percent="0" rank="0" text="" dxfId="2">
      <formula>3</formula>
    </cfRule>
  </conditionalFormatting>
  <conditionalFormatting sqref="D33">
    <cfRule type="cellIs" priority="65" operator="equal" aboveAverage="0" equalAverage="0" bottom="0" percent="0" rank="0" text="" dxfId="0">
      <formula>1</formula>
    </cfRule>
    <cfRule type="cellIs" priority="66" operator="equal" aboveAverage="0" equalAverage="0" bottom="0" percent="0" rank="0" text="" dxfId="1">
      <formula>2</formula>
    </cfRule>
    <cfRule type="cellIs" priority="67" operator="equal" aboveAverage="0" equalAverage="0" bottom="0" percent="0" rank="0" text="" dxfId="2">
      <formula>3</formula>
    </cfRule>
  </conditionalFormatting>
  <conditionalFormatting sqref="D34">
    <cfRule type="cellIs" priority="68" operator="equal" aboveAverage="0" equalAverage="0" bottom="0" percent="0" rank="0" text="" dxfId="0">
      <formula>1</formula>
    </cfRule>
    <cfRule type="cellIs" priority="69" operator="equal" aboveAverage="0" equalAverage="0" bottom="0" percent="0" rank="0" text="" dxfId="1">
      <formula>2</formula>
    </cfRule>
    <cfRule type="cellIs" priority="70" operator="equal" aboveAverage="0" equalAverage="0" bottom="0" percent="0" rank="0" text="" dxfId="2">
      <formula>3</formula>
    </cfRule>
  </conditionalFormatting>
  <conditionalFormatting sqref="D35">
    <cfRule type="cellIs" priority="71" operator="equal" aboveAverage="0" equalAverage="0" bottom="0" percent="0" rank="0" text="" dxfId="0">
      <formula>1</formula>
    </cfRule>
    <cfRule type="cellIs" priority="72" operator="equal" aboveAverage="0" equalAverage="0" bottom="0" percent="0" rank="0" text="" dxfId="1">
      <formula>2</formula>
    </cfRule>
    <cfRule type="cellIs" priority="73" operator="equal" aboveAverage="0" equalAverage="0" bottom="0" percent="0" rank="0" text="" dxfId="2">
      <formula>3</formula>
    </cfRule>
  </conditionalFormatting>
  <conditionalFormatting sqref="D36">
    <cfRule type="cellIs" priority="74" operator="equal" aboveAverage="0" equalAverage="0" bottom="0" percent="0" rank="0" text="" dxfId="0">
      <formula>1</formula>
    </cfRule>
    <cfRule type="cellIs" priority="75" operator="equal" aboveAverage="0" equalAverage="0" bottom="0" percent="0" rank="0" text="" dxfId="1">
      <formula>2</formula>
    </cfRule>
    <cfRule type="cellIs" priority="76" operator="equal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7C59"/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25" t="s">
        <v>156</v>
      </c>
      <c r="B1" s="25"/>
      <c r="C1" s="25"/>
      <c r="D1" s="25"/>
      <c r="E1" s="25"/>
    </row>
    <row r="2" customFormat="false" ht="15" hidden="false" customHeight="false" outlineLevel="0" collapsed="false">
      <c r="A2" s="2" t="s">
        <v>157</v>
      </c>
      <c r="B2" s="2"/>
      <c r="C2" s="2"/>
      <c r="D2" s="2"/>
      <c r="E2" s="2"/>
    </row>
    <row r="4" customFormat="false" ht="15" hidden="false" customHeight="false" outlineLevel="0" collapsed="false">
      <c r="A4" s="6" t="s">
        <v>158</v>
      </c>
      <c r="B4" s="6" t="s">
        <v>159</v>
      </c>
      <c r="C4" s="6" t="s">
        <v>160</v>
      </c>
      <c r="D4" s="6" t="s">
        <v>161</v>
      </c>
      <c r="E4" s="6" t="s">
        <v>162</v>
      </c>
    </row>
    <row r="5" customFormat="false" ht="64.5" hidden="false" customHeight="true" outlineLevel="0" collapsed="false">
      <c r="A5" s="26" t="s">
        <v>163</v>
      </c>
      <c r="B5" s="27" t="s">
        <v>164</v>
      </c>
      <c r="C5" s="12" t="s">
        <v>165</v>
      </c>
      <c r="D5" s="12" t="s">
        <v>166</v>
      </c>
      <c r="E5" s="12" t="s">
        <v>167</v>
      </c>
    </row>
    <row r="6" customFormat="false" ht="64.5" hidden="false" customHeight="true" outlineLevel="0" collapsed="false">
      <c r="A6" s="26" t="s">
        <v>168</v>
      </c>
      <c r="B6" s="28" t="s">
        <v>169</v>
      </c>
      <c r="C6" s="12" t="s">
        <v>170</v>
      </c>
      <c r="D6" s="12" t="s">
        <v>171</v>
      </c>
      <c r="E6" s="12" t="s">
        <v>172</v>
      </c>
    </row>
    <row r="7" customFormat="false" ht="64.5" hidden="false" customHeight="true" outlineLevel="0" collapsed="false">
      <c r="A7" s="26" t="s">
        <v>173</v>
      </c>
      <c r="B7" s="29" t="s">
        <v>174</v>
      </c>
      <c r="C7" s="12" t="s">
        <v>175</v>
      </c>
      <c r="D7" s="12" t="s">
        <v>176</v>
      </c>
      <c r="E7" s="12" t="s">
        <v>177</v>
      </c>
    </row>
    <row r="9" customFormat="false" ht="15" hidden="false" customHeight="false" outlineLevel="0" collapsed="false">
      <c r="A9" s="30" t="s">
        <v>178</v>
      </c>
      <c r="B9" s="30"/>
      <c r="C9" s="30"/>
      <c r="D9" s="30"/>
      <c r="E9" s="30"/>
    </row>
    <row r="10" customFormat="false" ht="15" hidden="false" customHeight="false" outlineLevel="0" collapsed="false">
      <c r="A10" s="31" t="s">
        <v>179</v>
      </c>
      <c r="B10" s="31"/>
      <c r="C10" s="31"/>
      <c r="D10" s="31"/>
      <c r="E10" s="31"/>
    </row>
    <row r="11" customFormat="false" ht="15" hidden="false" customHeight="false" outlineLevel="0" collapsed="false">
      <c r="A11" s="31" t="s">
        <v>180</v>
      </c>
      <c r="B11" s="31"/>
      <c r="C11" s="31"/>
      <c r="D11" s="31"/>
      <c r="E11" s="31"/>
    </row>
    <row r="12" customFormat="false" ht="15" hidden="false" customHeight="false" outlineLevel="0" collapsed="false">
      <c r="A12" s="31" t="s">
        <v>181</v>
      </c>
      <c r="B12" s="31"/>
      <c r="C12" s="31"/>
      <c r="D12" s="31"/>
      <c r="E12" s="31"/>
    </row>
    <row r="13" customFormat="false" ht="15" hidden="false" customHeight="false" outlineLevel="0" collapsed="false">
      <c r="A13" s="31" t="s">
        <v>182</v>
      </c>
      <c r="B13" s="31"/>
      <c r="C13" s="31"/>
      <c r="D13" s="31"/>
      <c r="E13" s="31"/>
    </row>
    <row r="14" customFormat="false" ht="15" hidden="false" customHeight="false" outlineLevel="0" collapsed="false">
      <c r="A14" s="31" t="s">
        <v>183</v>
      </c>
      <c r="B14" s="31"/>
      <c r="C14" s="31"/>
      <c r="D14" s="31"/>
      <c r="E14" s="31"/>
    </row>
  </sheetData>
  <mergeCells count="8">
    <mergeCell ref="A1:E1"/>
    <mergeCell ref="A2:E2"/>
    <mergeCell ref="A9:E9"/>
    <mergeCell ref="A10:E10"/>
    <mergeCell ref="A11:E11"/>
    <mergeCell ref="A12:E12"/>
    <mergeCell ref="A13:E13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2026-02-24T15:15:13Z</dcterms:created>
  <dc:creator>openpyxl</dc:creator>
  <dc:description/>
  <dc:language>en-US</dc:language>
  <cp:lastModifiedBy/>
  <dcterms:modified xsi:type="dcterms:W3CDTF">2026-02-24T15:15:13Z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