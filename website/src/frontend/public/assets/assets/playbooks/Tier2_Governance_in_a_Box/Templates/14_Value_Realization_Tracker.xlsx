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e Track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<sst xmlns="http://schemas.openxmlformats.org/spreadsheetml/2006/main" count="37" uniqueCount="33">
  <si>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AI System Name</t>
  </si>
  <si>
    <t xml:space="preserve">Business Unit</t>
  </si>
  <si>
    <t xml:space="preserve">Governance Lane</t>
  </si>
  <si>
    <t xml:space="preserve">Deployment Date</t>
  </si>
  <si>
    <t xml:space="preserve">Business Outcome Metric</t>
  </si>
  <si>
    <t xml:space="preserve">Baseline Value</t>
  </si>
  <si>
    <t xml:space="preserve">Target Value</t>
  </si>
  <si>
    <t xml:space="preserve">Current Value</t>
  </si>
  <si>
    <t xml:space="preserve">% of Target</t>
  </si>
  <si>
    <t xml:space="preserve">Status</t>
  </si>
  <si>
    <t xml:space="preserve">Measurement Method</t>
  </si>
  <si>
    <t xml:space="preserve">Last Updated</t>
  </si>
  <si>
    <t xml:space="preserve">Notes</t>
  </si>
  <si>
    <t xml:space="preserve">[AI System 1]</t>
  </si>
  <si>
    <t xml:space="preserve">[BU]</t>
  </si>
  <si>
    <t xml:space="preserve">Express</t>
  </si>
  <si>
    <t xml:space="preserve">[Date]</t>
  </si>
  <si>
    <t xml:space="preserve">Processing time reduction (hours/week)</t>
  </si>
  <si>
    <t xml:space="preserve">Weekly time tracking comparison</t>
  </si>
  <si>
    <t xml:space="preserve">[AI System 2]</t>
  </si>
  <si>
    <t xml:space="preserve">Standard</t>
  </si>
  <si>
    <t xml:space="preserve">Error rate reduction (%)</t>
  </si>
  <si>
    <t xml:space="preserve">Monthly quality audit</t>
  </si>
  <si>
    <t xml:space="preserve">[AI System 3]</t>
  </si>
  <si>
    <t xml:space="preserve">Strategic</t>
  </si>
  <si>
    <t xml:space="preserve">Revenue impact ($)</t>
  </si>
  <si>
    <t xml:space="preserve">Quarterly financial review</t>
  </si>
  <si>
    <t xml:space="preserve">AI Value Realization Dashboard</t>
  </si>
  <si>
    <t xml:space="preserve">Summary Metrics</t>
  </si>
  <si>
    <t xml:space="preserve">Total AI Systems Tracked</t>
  </si>
  <si>
    <t xml:space="preserve">Express Lane Systems</t>
  </si>
  <si>
    <t xml:space="preserve">Standard Lane Systems</t>
  </si>
  <si>
    <t xml:space="preserve">Strategic Lane Systems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</si>
</sst>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8B7355"/>
      <name val="Arial"/>
      <family val="0"/>
      <charset val="1"/>
    </font>
    <font>
      <sz val="10"/>
      <color rgb="FF2A2520"/>
      <name val="Arial"/>
      <family val="0"/>
      <charset val="1"/>
    </font>
    <font>
      <b val="true"/>
      <sz val="16"/>
      <color rgb="FF2A2520"/>
      <name val="Arial"/>
      <family val="0"/>
      <charset val="1"/>
    </font>
    <font>
      <b val="true"/>
      <sz val="10"/>
      <color rgb="FF2A2520"/>
      <name val="Arial"/>
      <family val="0"/>
      <charset val="1"/>
    </font>
    <font>
      <b val="true"/>
      <sz val="14"/>
      <color rgb="FF2A252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252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0C8"/>
      </left>
      <right style="thin">
        <color rgb="FFD5D0C8"/>
      </right>
      <top style="thin">
        <color rgb="FFD5D0C8"/>
      </top>
      <bottom style="thin">
        <color rgb="FFD5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0C8"/>
      <rgbColor rgb="FF8B7355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5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32"/>
    <col collapsed="false" customWidth="true" hidden="false" outlineLevel="0" max="8" min="6" style="1" width="14"/>
    <col collapsed="false" customWidth="true" hidden="false" outlineLevel="0" max="10" min="9" style="1" width="12"/>
    <col collapsed="false" customWidth="true" hidden="false" outlineLevel="0" max="11" min="11" style="1" width="28"/>
    <col collapsed="false" customWidth="true" hidden="false" outlineLevel="0" max="12" min="12" style="1" width="14"/>
    <col collapsed="false" customWidth="true" hidden="false" outlineLevel="0" max="13" min="13" style="1" width="30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23.85" hidden="false" customHeight="false" outlineLevel="0" collapsed="false">
      <c r="A2" s="3" t="s">
        <v>13</v>
      </c>
      <c r="B2" s="3" t="s">
        <v>14</v>
      </c>
      <c r="C2" s="4" t="s">
        <v>15</v>
      </c>
      <c r="D2" s="3" t="s">
        <v>16</v>
      </c>
      <c r="E2" s="4" t="s">
        <v>17</v>
      </c>
      <c r="F2" s="4"/>
      <c r="G2" s="4"/>
      <c r="H2" s="4"/>
      <c r="I2" s="5" t="str">
        <f aca="false">IF(AND(G2&lt;&gt;"",F2&lt;&gt;"",H2&lt;&gt;""),IF(G2-F2=0,"-",(H2-F2)/(G2-F2)),"")</f>
        <v/>
      </c>
      <c r="J2" s="4"/>
      <c r="K2" s="4" t="s">
        <v>18</v>
      </c>
      <c r="L2" s="4"/>
      <c r="M2" s="4"/>
    </row>
    <row r="3" customFormat="false" ht="15" hidden="false" customHeight="false" outlineLevel="0" collapsed="false">
      <c r="A3" s="3" t="s">
        <v>19</v>
      </c>
      <c r="B3" s="3" t="s">
        <v>14</v>
      </c>
      <c r="C3" s="4" t="s">
        <v>20</v>
      </c>
      <c r="D3" s="3" t="s">
        <v>16</v>
      </c>
      <c r="E3" s="4" t="s">
        <v>21</v>
      </c>
      <c r="F3" s="4"/>
      <c r="G3" s="4"/>
      <c r="H3" s="4"/>
      <c r="I3" s="5" t="str">
        <f aca="false">IF(AND(G3&lt;&gt;"",F3&lt;&gt;"",H3&lt;&gt;""),IF(G3-F3=0,"-",(H3-F3)/(G3-F3)),"")</f>
        <v/>
      </c>
      <c r="J3" s="4"/>
      <c r="K3" s="4" t="s">
        <v>22</v>
      </c>
      <c r="L3" s="4"/>
      <c r="M3" s="4"/>
    </row>
    <row r="4" customFormat="false" ht="15" hidden="false" customHeight="false" outlineLevel="0" collapsed="false">
      <c r="A4" s="3" t="s">
        <v>23</v>
      </c>
      <c r="B4" s="3" t="s">
        <v>14</v>
      </c>
      <c r="C4" s="4" t="s">
        <v>24</v>
      </c>
      <c r="D4" s="3" t="s">
        <v>16</v>
      </c>
      <c r="E4" s="4" t="s">
        <v>25</v>
      </c>
      <c r="F4" s="4"/>
      <c r="G4" s="4"/>
      <c r="H4" s="4"/>
      <c r="I4" s="5" t="str">
        <f aca="false">IF(AND(G4&lt;&gt;"",F4&lt;&gt;"",H4&lt;&gt;""),IF(G4-F4=0,"-",(H4-F4)/(G4-F4)),"")</f>
        <v/>
      </c>
      <c r="J4" s="4"/>
      <c r="K4" s="4" t="s">
        <v>26</v>
      </c>
      <c r="L4" s="4"/>
      <c r="M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</cols>
  <sheetData>
    <row r="1" customFormat="false" ht="19.7" hidden="false" customHeight="false" outlineLevel="0" collapsed="false">
      <c r="A1" s="6" t="s">
        <v>27</v>
      </c>
    </row>
    <row r="3" customFormat="false" ht="15" hidden="false" customHeight="false" outlineLevel="0" collapsed="false">
      <c r="A3" s="7" t="s">
        <v>28</v>
      </c>
    </row>
    <row r="4" customFormat="false" ht="17.35" hidden="false" customHeight="false" outlineLevel="0" collapsed="false">
      <c r="A4" s="8" t="s">
        <v>29</v>
      </c>
      <c r="B4" s="9" t="n">
        <f aca="false">COUNTA('Value Tracker'!A2:A100)</f>
        <v>3</v>
      </c>
    </row>
    <row r="5" customFormat="false" ht="17.35" hidden="false" customHeight="false" outlineLevel="0" collapsed="false">
      <c r="A5" s="8" t="s">
        <v>30</v>
      </c>
      <c r="B5" s="9" t="n">
        <f aca="false">COUNTIF('Value Tracker'!C2:C100,"Express")</f>
        <v>1</v>
      </c>
    </row>
    <row r="6" customFormat="false" ht="17.35" hidden="false" customHeight="false" outlineLevel="0" collapsed="false">
      <c r="A6" s="8" t="s">
        <v>31</v>
      </c>
      <c r="B6" s="9" t="n">
        <f aca="false">COUNTIF('Value Tracker'!C2:C100,"Standard")</f>
        <v>1</v>
      </c>
    </row>
    <row r="7" customFormat="false" ht="17.35" hidden="false" customHeight="false" outlineLevel="0" collapsed="false">
      <c r="A7" s="8" t="s">
        <v>32</v>
      </c>
      <c r="B7" s="9" t="n">
        <f aca="false">COUNTIF('Value Tracker'!C2:C100,"Strategic")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2026-02-26T01:01:32Z</dcterms:created>
  <dc:creator>openpyxl</dc:creator>
  <dc:description/>
  <dc:language>en-US</dc:language>
  <cp:lastModifiedBy/>
  <dcterms:modified xsi:type="dcterms:W3CDTF">2026-02-26T01:01:32Z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